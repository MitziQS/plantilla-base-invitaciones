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Guia de us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0">
    <font>
      <name val="Calibri"/>
      <family val="2"/>
      <color theme="1"/>
      <sz val="11"/>
      <scheme val="minor"/>
    </font>
    <font>
      <name val="Arial"/>
      <b val="1"/>
      <color rgb="00F5EFE6"/>
      <sz val="13"/>
    </font>
    <font>
      <name val="Arial"/>
      <b val="1"/>
      <color rgb="00FDFAF6"/>
      <sz val="10"/>
    </font>
    <font>
      <name val="Arial"/>
      <color rgb="003D2E1F"/>
      <sz val="10"/>
    </font>
    <font>
      <name val="Arial"/>
      <b val="1"/>
      <color rgb="001B5E20"/>
      <sz val="10"/>
    </font>
    <font>
      <name val="Arial"/>
      <color rgb="001565C0"/>
      <sz val="10"/>
    </font>
    <font>
      <name val="Arial"/>
      <b val="1"/>
      <color rgb="005F4F00"/>
      <sz val="10"/>
    </font>
    <font>
      <name val="Arial"/>
      <b val="1"/>
      <color rgb="00BF360C"/>
      <sz val="10"/>
    </font>
    <font>
      <name val="Arial"/>
      <b val="1"/>
      <color rgb="003D2E1F"/>
      <sz val="11"/>
    </font>
    <font>
      <name val="Arial"/>
      <b val="1"/>
      <color rgb="003D2E1F"/>
      <sz val="10"/>
    </font>
  </fonts>
  <fills count="10">
    <fill>
      <patternFill/>
    </fill>
    <fill>
      <patternFill patternType="gray125"/>
    </fill>
    <fill>
      <patternFill patternType="solid">
        <fgColor rgb="003D2E1F"/>
      </patternFill>
    </fill>
    <fill>
      <patternFill patternType="solid">
        <fgColor rgb="00B08D57"/>
      </patternFill>
    </fill>
    <fill>
      <patternFill patternType="solid">
        <fgColor rgb="00FDFAF6"/>
      </patternFill>
    </fill>
    <fill>
      <patternFill patternType="solid">
        <fgColor rgb="00C8E6C9"/>
      </patternFill>
    </fill>
    <fill>
      <patternFill patternType="solid">
        <fgColor rgb="00F0EAE0"/>
      </patternFill>
    </fill>
    <fill>
      <patternFill patternType="solid">
        <fgColor rgb="00FFF9C4"/>
      </patternFill>
    </fill>
    <fill>
      <patternFill patternType="solid">
        <fgColor rgb="00FFCCBC"/>
      </patternFill>
    </fill>
    <fill>
      <patternFill patternType="solid">
        <fgColor rgb="00F5EF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indent="1"/>
    </xf>
    <xf numFmtId="0" fontId="8" fillId="9" borderId="1" applyAlignment="1" pivotButton="0" quotePrefix="0" xfId="0">
      <alignment horizontal="center" vertical="center"/>
    </xf>
    <xf numFmtId="164" fontId="8" fillId="9" borderId="1" applyAlignment="1" pivotButton="0" quotePrefix="0" xfId="0">
      <alignment horizontal="center" vertical="center"/>
    </xf>
    <xf numFmtId="0" fontId="9" fillId="6" borderId="1" applyAlignment="1" pivotButton="0" quotePrefix="0" xfId="0">
      <alignment vertical="center" wrapText="1" indent="1"/>
    </xf>
    <xf numFmtId="0" fontId="3" fillId="4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5" customWidth="1" min="3" max="3"/>
    <col width="22" customWidth="1" min="4" max="4"/>
    <col width="13" customWidth="1" min="5" max="5"/>
    <col width="13" customWidth="1" min="6" max="6"/>
    <col width="14" customWidth="1" min="7" max="7"/>
    <col width="30" customWidth="1" min="8" max="8"/>
    <col width="30" customWidth="1" min="9" max="9"/>
    <col width="12" customWidth="1" min="10" max="10"/>
    <col width="12" customWidth="1" min="11" max="11"/>
    <col width="11" customWidth="1" min="12" max="12"/>
    <col width="25" customWidth="1" min="13" max="13"/>
    <col width="16" customWidth="1" min="14" max="14"/>
  </cols>
  <sheetData>
    <row r="1" ht="38" customHeight="1">
      <c r="A1" s="1" t="inlineStr">
        <is>
          <t>TRACKER DE CLIENTES — INVITACIONES DIGITALES</t>
        </is>
      </c>
    </row>
    <row r="2" ht="28" customHeight="1">
      <c r="A2" s="2" t="inlineStr">
        <is>
          <t>#</t>
        </is>
      </c>
      <c r="B2" s="2" t="inlineStr">
        <is>
          <t>Cliente</t>
        </is>
      </c>
      <c r="C2" s="2" t="inlineStr">
        <is>
          <t>Tipo evento</t>
        </is>
      </c>
      <c r="D2" s="2" t="inlineStr">
        <is>
          <t>Nombre(s)</t>
        </is>
      </c>
      <c r="E2" s="2" t="inlineStr">
        <is>
          <t>Fecha evento</t>
        </is>
      </c>
      <c r="F2" s="2" t="inlineStr">
        <is>
          <t>Fecha entrega</t>
        </is>
      </c>
      <c r="G2" s="2" t="inlineStr">
        <is>
          <t>Estado</t>
        </is>
      </c>
      <c r="H2" s="2" t="inlineStr">
        <is>
          <t>URL Invitación</t>
        </is>
      </c>
      <c r="I2" s="2" t="inlineStr">
        <is>
          <t>URL Sheet RSVPs</t>
        </is>
      </c>
      <c r="J2" s="2" t="inlineStr">
        <is>
          <t>Confirmados</t>
        </is>
      </c>
      <c r="K2" s="2" t="inlineStr">
        <is>
          <t>Precio $</t>
        </is>
      </c>
      <c r="L2" s="2" t="inlineStr">
        <is>
          <t>Pagado</t>
        </is>
      </c>
      <c r="M2" s="2" t="inlineStr">
        <is>
          <t>Notas</t>
        </is>
      </c>
      <c r="N2" s="2" t="inlineStr">
        <is>
          <t>WhatsApp</t>
        </is>
      </c>
    </row>
    <row r="3" ht="22" customHeight="1">
      <c r="A3" s="3" t="n">
        <v>1</v>
      </c>
      <c r="B3" s="4" t="inlineStr">
        <is>
          <t>Sofía Ramírez</t>
        </is>
      </c>
      <c r="C3" s="4" t="inlineStr">
        <is>
          <t>Boda</t>
        </is>
      </c>
      <c r="D3" s="4" t="inlineStr">
        <is>
          <t>Sofía &amp; Mateo</t>
        </is>
      </c>
      <c r="E3" s="4" t="inlineStr">
        <is>
          <t>14/02/2026</t>
        </is>
      </c>
      <c r="F3" s="4" t="inlineStr">
        <is>
          <t>10/01/2026</t>
        </is>
      </c>
      <c r="G3" s="5" t="inlineStr">
        <is>
          <t>Entregado</t>
        </is>
      </c>
      <c r="H3" s="6" t="inlineStr">
        <is>
          <t>https://plantilla-base-invitaciones.netlify.app/sofia-mateo.html</t>
        </is>
      </c>
      <c r="I3" s="6" t="inlineStr">
        <is>
          <t>https://docs.google.com/...</t>
        </is>
      </c>
      <c r="J3" s="7" t="n">
        <v>12</v>
      </c>
      <c r="K3" s="7" t="n">
        <v>2500</v>
      </c>
      <c r="L3" s="7" t="inlineStr">
        <is>
          <t>Sí</t>
        </is>
      </c>
      <c r="M3" s="4" t="inlineStr">
        <is>
          <t>Demo</t>
        </is>
      </c>
      <c r="N3" s="4" t="inlineStr"/>
    </row>
    <row r="4" ht="22" customHeight="1">
      <c r="A4" s="3" t="n">
        <v>2</v>
      </c>
      <c r="B4" s="8" t="inlineStr">
        <is>
          <t>Laura Gómez</t>
        </is>
      </c>
      <c r="C4" s="8" t="inlineStr">
        <is>
          <t>XV Años</t>
        </is>
      </c>
      <c r="D4" s="8" t="inlineStr">
        <is>
          <t>Isabella</t>
        </is>
      </c>
      <c r="E4" s="8" t="inlineStr">
        <is>
          <t>20/03/2026</t>
        </is>
      </c>
      <c r="F4" s="8" t="inlineStr">
        <is>
          <t>01/02/2026</t>
        </is>
      </c>
      <c r="G4" s="9" t="inlineStr">
        <is>
          <t>En proceso</t>
        </is>
      </c>
      <c r="H4" s="6" t="inlineStr"/>
      <c r="I4" s="6" t="inlineStr"/>
      <c r="J4" s="7" t="inlineStr"/>
      <c r="K4" s="7" t="n">
        <v>1800</v>
      </c>
      <c r="L4" s="7" t="inlineStr">
        <is>
          <t>50% anticipo</t>
        </is>
      </c>
      <c r="M4" s="8" t="inlineStr">
        <is>
          <t>Pendiente fotos</t>
        </is>
      </c>
      <c r="N4" s="8" t="inlineStr">
        <is>
          <t>+52 55 9876 5432</t>
        </is>
      </c>
    </row>
    <row r="5" ht="22" customHeight="1">
      <c r="A5" s="3" t="n">
        <v>3</v>
      </c>
      <c r="B5" s="4" t="inlineStr">
        <is>
          <t>Carlos Mendoza</t>
        </is>
      </c>
      <c r="C5" s="4" t="inlineStr">
        <is>
          <t>Cumpleaños</t>
        </is>
      </c>
      <c r="D5" s="4" t="inlineStr">
        <is>
          <t>Rodrigo</t>
        </is>
      </c>
      <c r="E5" s="4" t="inlineStr">
        <is>
          <t>05/04/2026</t>
        </is>
      </c>
      <c r="F5" s="4" t="inlineStr">
        <is>
          <t>15/03/2026</t>
        </is>
      </c>
      <c r="G5" s="10" t="inlineStr">
        <is>
          <t>Pendiente</t>
        </is>
      </c>
      <c r="H5" s="6" t="inlineStr"/>
      <c r="I5" s="6" t="inlineStr"/>
      <c r="J5" s="7" t="inlineStr"/>
      <c r="K5" s="7" t="n">
        <v>1500</v>
      </c>
      <c r="L5" s="7" t="inlineStr">
        <is>
          <t>No</t>
        </is>
      </c>
      <c r="M5" s="4" t="inlineStr"/>
      <c r="N5" s="4" t="inlineStr">
        <is>
          <t>+52 55 5555 0000</t>
        </is>
      </c>
    </row>
    <row r="6" ht="22" customHeight="1">
      <c r="A6" s="11" t="n"/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</row>
    <row r="7" ht="22" customHeight="1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</row>
    <row r="8" ht="22" customHeight="1">
      <c r="A8" s="11" t="n"/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</row>
    <row r="9" ht="22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</row>
    <row r="10" ht="22" customHeight="1">
      <c r="A10" s="11" t="n"/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</row>
    <row r="11" ht="22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</row>
    <row r="12" ht="22" customHeight="1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22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 ht="22" customHeight="1">
      <c r="A14" s="11" t="n"/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22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</row>
    <row r="16" ht="22" customHeight="1">
      <c r="A16" s="11" t="n"/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22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</row>
    <row r="18" ht="22" customHeight="1">
      <c r="A18" s="11" t="n"/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22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</row>
    <row r="20" ht="22" customHeight="1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</row>
    <row r="21" ht="22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</row>
    <row r="22" ht="22" customHeight="1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22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 ht="22" customHeight="1">
      <c r="A24" s="11" t="n"/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22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 ht="22" customHeight="1">
      <c r="A26" s="11" t="n"/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22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</row>
    <row r="28" ht="22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</row>
    <row r="29" ht="22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</row>
    <row r="30" ht="22" customHeight="1">
      <c r="A30" s="11" t="n"/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22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</row>
    <row r="32" ht="22" customHeight="1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</row>
    <row r="33" ht="22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 ht="22" customHeight="1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22" customHeight="1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 ht="22" customHeight="1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</row>
    <row r="37" ht="22" customHeight="1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 ht="22" customHeight="1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</row>
    <row r="39" ht="22" customHeight="1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</row>
    <row r="40" ht="22" customHeight="1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</row>
    <row r="41" ht="22" customHeight="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 ht="22" customHeight="1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</row>
    <row r="43" ht="22" customHeight="1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</row>
    <row r="44" ht="22" customHeight="1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</row>
    <row r="45" ht="22" customHeight="1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 ht="22" customHeight="1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22" customHeight="1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 ht="22" customHeight="1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22" customHeight="1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</row>
    <row r="50" ht="22" customHeight="1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</row>
    <row r="51" ht="22" customHeight="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 ht="22" customHeight="1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22" customHeight="1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</row>
    <row r="54" ht="22" customHeight="1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 ht="38" customHeight="1">
      <c r="A1" s="1" t="inlineStr">
        <is>
          <t>DASHBOARD — RESUMEN DEL NEGOCIO</t>
        </is>
      </c>
    </row>
    <row r="2" ht="24" customHeight="1">
      <c r="A2" s="2" t="inlineStr">
        <is>
          <t>MÉTRICAS GENERALES</t>
        </is>
      </c>
    </row>
    <row r="3" ht="24" customHeight="1">
      <c r="A3" s="13" t="inlineStr">
        <is>
          <t>Total clientes</t>
        </is>
      </c>
      <c r="B3" s="14">
        <f>COUNTA(Clientes!B3:B54)</f>
        <v/>
      </c>
    </row>
    <row r="4" ht="24" customHeight="1">
      <c r="A4" s="13" t="inlineStr">
        <is>
          <t>Entregados</t>
        </is>
      </c>
      <c r="B4" s="14">
        <f>COUNTIF(Clientes!G3:G54,"Entregado")</f>
        <v/>
      </c>
    </row>
    <row r="5" ht="24" customHeight="1">
      <c r="A5" s="13" t="inlineStr">
        <is>
          <t>En proceso</t>
        </is>
      </c>
      <c r="B5" s="14">
        <f>COUNTIF(Clientes!G3:G54,"En proceso")</f>
        <v/>
      </c>
    </row>
    <row r="6" ht="24" customHeight="1">
      <c r="A6" s="13" t="inlineStr">
        <is>
          <t>Pendientes</t>
        </is>
      </c>
      <c r="B6" s="14">
        <f>COUNTIF(Clientes!G3:G54,"Pendiente")</f>
        <v/>
      </c>
    </row>
    <row r="7" ht="24" customHeight="1"/>
    <row r="8" ht="24" customHeight="1">
      <c r="A8" s="2" t="inlineStr">
        <is>
          <t>INGRESOS</t>
        </is>
      </c>
    </row>
    <row r="9" ht="24" customHeight="1">
      <c r="A9" s="13" t="inlineStr">
        <is>
          <t>Total facturado</t>
        </is>
      </c>
      <c r="B9" s="15">
        <f>SUM(Clientes!K3:K54)</f>
        <v/>
      </c>
    </row>
    <row r="10" ht="24" customHeight="1">
      <c r="A10" s="13" t="inlineStr">
        <is>
          <t>Total cobrado</t>
        </is>
      </c>
      <c r="B10" s="15">
        <f>SUMIF(Clientes!L3:L54,"Sí",Clientes!K3:K54)</f>
        <v/>
      </c>
    </row>
    <row r="11" ht="24" customHeight="1">
      <c r="A11" s="13" t="inlineStr">
        <is>
          <t>Por cobrar</t>
        </is>
      </c>
      <c r="B11" s="15">
        <f>B8-B9</f>
        <v/>
      </c>
    </row>
    <row r="12" ht="24" customHeight="1"/>
    <row r="13" ht="24" customHeight="1">
      <c r="A13" s="2" t="inlineStr">
        <is>
          <t>POR TIPO</t>
        </is>
      </c>
    </row>
    <row r="14" ht="24" customHeight="1">
      <c r="A14" s="13" t="inlineStr">
        <is>
          <t>Bodas</t>
        </is>
      </c>
      <c r="B14" s="14">
        <f>COUNTIF(Clientes!C3:C54,"Boda")</f>
        <v/>
      </c>
    </row>
    <row r="15" ht="24" customHeight="1">
      <c r="A15" s="13" t="inlineStr">
        <is>
          <t>XV Años</t>
        </is>
      </c>
      <c r="B15" s="14">
        <f>COUNTIF(Clientes!C3:C54,"XV Años")</f>
        <v/>
      </c>
    </row>
    <row r="16" ht="24" customHeight="1">
      <c r="A16" s="13" t="inlineStr">
        <is>
          <t>Cumpleaños</t>
        </is>
      </c>
      <c r="B16" s="14">
        <f>COUNTIF(Clientes!C3:C54,"Cumpleaños")</f>
        <v/>
      </c>
    </row>
    <row r="17" ht="24" customHeight="1">
      <c r="A17" s="13" t="inlineStr">
        <is>
          <t>Bautizos</t>
        </is>
      </c>
      <c r="B17" s="14">
        <f>COUNTIF(Clientes!C3:C54,"Bautizo")</f>
        <v/>
      </c>
    </row>
    <row r="18" ht="24" customHeight="1">
      <c r="A18" s="13" t="inlineStr">
        <is>
          <t>Graduaciones</t>
        </is>
      </c>
      <c r="B18" s="14">
        <f>COUNTIF(Clientes!C3:C54,"Graduación")</f>
        <v/>
      </c>
    </row>
  </sheetData>
  <mergeCells count="4">
    <mergeCell ref="A8:B8"/>
    <mergeCell ref="A2:B2"/>
    <mergeCell ref="A13:B13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38" customHeight="1">
      <c r="A1" s="1" t="inlineStr">
        <is>
          <t>GUÍA DE USO — FLUJO POR CLIENTE</t>
        </is>
      </c>
    </row>
    <row r="2" ht="22" customHeight="1">
      <c r="A2" s="2" t="inlineStr">
        <is>
          <t>FLUJO DE TRABAJO</t>
        </is>
      </c>
    </row>
    <row r="3" ht="22" customHeight="1">
      <c r="A3" s="16" t="inlineStr">
        <is>
          <t>1. Cliente nuevo</t>
        </is>
      </c>
      <c r="B3" s="17" t="inlineStr">
        <is>
          <t>Agrega una fila en Clientes con nombre, tipo de evento y fecha</t>
        </is>
      </c>
    </row>
    <row r="4" ht="22" customHeight="1">
      <c r="A4" s="16" t="inlineStr">
        <is>
          <t>2. Crea su Google Sheet</t>
        </is>
      </c>
      <c r="B4" s="17" t="inlineStr">
        <is>
          <t>sheets.new → Extensiones → Apps Script → pega el código → Implementar</t>
        </is>
      </c>
    </row>
    <row r="5" ht="22" customHeight="1">
      <c r="A5" s="16" t="inlineStr">
        <is>
          <t>3. Genera la invitación</t>
        </is>
      </c>
      <c r="B5" s="17" t="inlineStr">
        <is>
          <t>Panel admin → selecciona tema → llena datos → pega URL Script → Generar</t>
        </is>
      </c>
    </row>
    <row r="6" ht="22" customHeight="1">
      <c r="A6" s="16" t="inlineStr">
        <is>
          <t>4. Sube a Netlify</t>
        </is>
      </c>
      <c r="B6" s="17" t="inlineStr">
        <is>
          <t>Arrastra el HTML a Netlify → copia la URL pública</t>
        </is>
      </c>
    </row>
    <row r="7" ht="22" customHeight="1">
      <c r="A7" s="16" t="inlineStr">
        <is>
          <t>5. Actualiza el tracker</t>
        </is>
      </c>
      <c r="B7" s="17" t="inlineStr">
        <is>
          <t>Pega URL invitación (col H) y URL Sheet RSVPs (col I)</t>
        </is>
      </c>
    </row>
    <row r="8" ht="22" customHeight="1">
      <c r="A8" s="16" t="inlineStr">
        <is>
          <t>6. Comparte con cliente</t>
        </is>
      </c>
      <c r="B8" s="17" t="inlineStr">
        <is>
          <t>Envía la URL por WhatsApp. Activa el QR para impresión física</t>
        </is>
      </c>
    </row>
    <row r="9" ht="22" customHeight="1">
      <c r="A9" s="16" t="inlineStr">
        <is>
          <t>7. Monitorea RSVPs</t>
        </is>
      </c>
      <c r="B9" s="17" t="inlineStr">
        <is>
          <t>Abre la URL del Sheet del cliente (col I) para ver quién confirma</t>
        </is>
      </c>
    </row>
    <row r="10" ht="22" customHeight="1">
      <c r="A10" s="16" t="inlineStr">
        <is>
          <t>8. Cierra el cliente</t>
        </is>
      </c>
      <c r="B10" s="17" t="inlineStr">
        <is>
          <t>Actualiza estado a Pagado y marca en col L</t>
        </is>
      </c>
    </row>
    <row r="11" ht="22" customHeight="1"/>
    <row r="12" ht="22" customHeight="1">
      <c r="A12" s="2" t="inlineStr">
        <is>
          <t>PRECIOS SUGERIDOS</t>
        </is>
      </c>
    </row>
    <row r="13" ht="22" customHeight="1">
      <c r="A13" s="16" t="inlineStr">
        <is>
          <t>Paquete Básico — $1,500</t>
        </is>
      </c>
      <c r="B13" s="17" t="inlineStr">
        <is>
          <t>9 slides + RSVP Google Sheets + QR imprimible</t>
        </is>
      </c>
    </row>
    <row r="14" ht="22" customHeight="1">
      <c r="A14" s="16" t="inlineStr">
        <is>
          <t>Paquete Estándar — $2,000</t>
        </is>
      </c>
      <c r="B14" s="17" t="inlineStr">
        <is>
          <t>Básico + foto o video embed + música</t>
        </is>
      </c>
    </row>
    <row r="15" ht="22" customHeight="1">
      <c r="A15" s="16" t="inlineStr">
        <is>
          <t>Paquete Premium — $3,000</t>
        </is>
      </c>
      <c r="B15" s="17" t="inlineStr">
        <is>
          <t>Estándar + dominio personalizado + soporte 30 días</t>
        </is>
      </c>
    </row>
    <row r="16" ht="22" customHeight="1">
      <c r="A16" s="16" t="inlineStr">
        <is>
          <t>Ajuste post-entrega — $300</t>
        </is>
      </c>
      <c r="B16" s="17" t="inlineStr">
        <is>
          <t>Por cambio adicional después de entrega</t>
        </is>
      </c>
    </row>
    <row r="17" ht="22" customHeight="1"/>
    <row r="18" ht="22" customHeight="1">
      <c r="A18" s="2" t="inlineStr">
        <is>
          <t>ESTADOS</t>
        </is>
      </c>
    </row>
    <row r="19" ht="22" customHeight="1">
      <c r="A19" s="16" t="inlineStr">
        <is>
          <t>Pendiente</t>
        </is>
      </c>
      <c r="B19" s="17" t="inlineStr">
        <is>
          <t>Cliente interesado, trabajo no iniciado</t>
        </is>
      </c>
    </row>
    <row r="20" ht="22" customHeight="1">
      <c r="A20" s="16" t="inlineStr">
        <is>
          <t>En proceso</t>
        </is>
      </c>
      <c r="B20" s="17" t="inlineStr">
        <is>
          <t>Invitación en creación o ajuste</t>
        </is>
      </c>
    </row>
    <row r="21" ht="22" customHeight="1">
      <c r="A21" s="16" t="inlineStr">
        <is>
          <t>Entregado</t>
        </is>
      </c>
      <c r="B21" s="17" t="inlineStr">
        <is>
          <t>Invitación activa y enviada al cliente</t>
        </is>
      </c>
    </row>
    <row r="22" ht="22" customHeight="1">
      <c r="A22" s="16" t="inlineStr">
        <is>
          <t>Pagado</t>
        </is>
      </c>
      <c r="B22" s="17" t="inlineStr">
        <is>
          <t>Pago completo recibido</t>
        </is>
      </c>
    </row>
  </sheetData>
  <mergeCells count="4">
    <mergeCell ref="A18:B18"/>
    <mergeCell ref="A2:B2"/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2026-06-21T04:09:55Z</dcterms:created>
  <dcterms:modified xmlns:dcterms="http://purl.org/dc/terms/" xmlns:xsi="http://www.w3.org/2001/XMLSchema-instance" xsi:type="dcterms:W3CDTF">2026-06-21T04:09:55Z</dcterms:modified>
</cp:coreProperties>
</file>